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3.xml" ContentType="application/vnd.ms-office.activeX+xml"/>
  <Override PartName="/xl/activeX/activeX1.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2.bin" ContentType="application/vnd.ms-office.activeX"/>
  <Override PartName="/xl/activeX/activeX3.bin" ContentType="application/vnd.ms-office.activeX"/>
  <Override PartName="/xl/activeX/activeX1.bin" ContentType="application/vnd.ms-office.activeX"/>
  <Override PartName="/xl/activeX/activeX4.bin" ContentType="application/vnd.ms-office.activeX"/>
  <Override PartName="/xl/activeX/activeX5.bin" ContentType="application/vnd.ms-office.activeX"/>
  <Override PartName="/xl/activeX/activeX6.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1" codeName="{00000000-0000-0000-0000-000000000000}"/>
  <workbookPr updateLinks="never" codeName="ThisWorkbook"/>
  <mc:AlternateContent xmlns:mc="http://schemas.openxmlformats.org/markup-compatibility/2006">
    <mc:Choice Requires="x15">
      <x15ac:absPath xmlns:x15ac="http://schemas.microsoft.com/office/spreadsheetml/2010/11/ac" url="H:\P_Bulles-Snake\Livrables écrits\"/>
    </mc:Choice>
  </mc:AlternateContent>
  <xr:revisionPtr revIDLastSave="45" documentId="13_ncr:1_{BBA45AFE-3D88-49AD-9258-72046A97B0D0}" xr6:coauthVersionLast="47" xr6:coauthVersionMax="47" xr10:uidLastSave="{6C632567-69E2-49FF-AABE-C7F171C71C2D}"/>
  <bookViews>
    <workbookView xWindow="28680" yWindow="-120" windowWidth="29040" windowHeight="15840" firstSheet="5"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B151" i="155"/>
  <c r="B132" i="155"/>
  <c r="B113" i="155"/>
  <c r="B94" i="155"/>
  <c r="B75" i="155"/>
  <c r="B56" i="155"/>
  <c r="B37" i="155"/>
  <c r="B18" i="155"/>
  <c r="B18" i="154"/>
  <c r="B13" i="11" l="1"/>
</calcChain>
</file>

<file path=xl/sharedStrings.xml><?xml version="1.0" encoding="utf-8"?>
<sst xmlns="http://schemas.openxmlformats.org/spreadsheetml/2006/main" count="156" uniqueCount="66">
  <si>
    <t>Module :</t>
  </si>
  <si>
    <t>P_Prod</t>
  </si>
  <si>
    <t>Prénom - nom :</t>
  </si>
  <si>
    <t>Matias Denis</t>
  </si>
  <si>
    <t>Classe :</t>
  </si>
  <si>
    <t>FID2</t>
  </si>
  <si>
    <t>Lieu :</t>
  </si>
  <si>
    <t>ETML - Vennes</t>
  </si>
  <si>
    <t>Date Début :</t>
  </si>
  <si>
    <t>Date Fin:</t>
  </si>
  <si>
    <t>Nombre de semaines:</t>
  </si>
  <si>
    <t>Nombre de Périodes/Semaine :</t>
  </si>
  <si>
    <t>Nombre de 1/4 heure/Période:</t>
  </si>
  <si>
    <t xml:space="preserve"> </t>
  </si>
  <si>
    <t>Liste des tâches</t>
  </si>
  <si>
    <t>Tâche obligatoire:</t>
  </si>
  <si>
    <t>Absence - Imprévus</t>
  </si>
  <si>
    <t>Introduction du cours</t>
  </si>
  <si>
    <t>Présentation du projet</t>
  </si>
  <si>
    <t>Documentation JS</t>
  </si>
  <si>
    <t>Démarrage du projet</t>
  </si>
  <si>
    <t>Rédaction du début du rapport de projet</t>
  </si>
  <si>
    <t>Code</t>
  </si>
  <si>
    <t>Rédaction de la suite du rapport de projet</t>
  </si>
  <si>
    <t>Rédaction de la fin du rapport</t>
  </si>
  <si>
    <t>Tâches - objectifs</t>
  </si>
  <si>
    <t>Nb 1/4 heure</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</si>
  <si>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</si>
  <si>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</si>
  <si>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</si>
  <si>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</si>
  <si>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</si>
  <si>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</si>
  <si>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</si>
  <si>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</si>
  <si>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Début:</t>
  </si>
  <si>
    <t>Mr. Piot s'est présenté et a présenté le projet P_Bulles, chaque élèves s'est présenté également. Discussion générale.</t>
  </si>
  <si>
    <t>Mr. Piot a introduit le projet en partageant le repository GitHub. Il a également parcouru les attentes du projet.</t>
  </si>
  <si>
    <t>https://github.com/Jazztel20/P_Bulles-Snake</t>
  </si>
  <si>
    <t>Avant de commencer le projet, il a été nécessaire d'aller rechercher de la documentation JS car il n'y a pour l'instant aucun connaissance de JS.</t>
  </si>
  <si>
    <t xml:space="preserve">https://www.youtube.com/watch?v=uyhzCBEGaBY https://www.youtube.com/watch?v=Je0B3nHhKmM https://jsdoc.app/ https://www.w3schools.com/js/default.asp
</t>
  </si>
  <si>
    <t>Le visionnage d'une vidéo tutorielle a été commencé afin de comprendre les bases du Snake en JavaScript.</t>
  </si>
  <si>
    <t>https://www.youtube.com/watch?v=Je0B3nHhKmM</t>
  </si>
  <si>
    <t>Max. 9</t>
  </si>
  <si>
    <t>Mr. Piot a introduit la séquence en nous partageant la grille d'évaluation du projet, les conventions de codage ainsi qu'un lien youtube pour JSDoc.</t>
  </si>
  <si>
    <t>https://www.youtube.com/watch?v=3RIaH0NnG64&amp;t=5s</t>
  </si>
  <si>
    <t>Il a été réalisé le début du rapport de projet contenant l'introduction, les objectifs, les technologies utilisées, l'installation et l'exécution, l'accès à la page du jeu ainsi qu'une description de la première séquence.</t>
  </si>
  <si>
    <t>Fin du visionnage de la vidéo tutorielle de la semaine passée afin de comprendre les bases du Snake en JS.</t>
  </si>
  <si>
    <t>Lecture de la documentation JS de W3Schools afin de comprendre les concepts de base.</t>
  </si>
  <si>
    <t>https://www.w3schools.com/js/default.asp</t>
  </si>
  <si>
    <t>Accident</t>
  </si>
  <si>
    <t>Il a été trouvé un site web contenant un tutoriel pour un jeu Snake en Javascript. Il décrit et explique chaque étape de son propre projet, c'est une bonne source d'apprentissage et de compréhension</t>
  </si>
  <si>
    <t>https://www.educative.io/blog/javascript-snake-game-tutorial</t>
  </si>
  <si>
    <t>Code de la fonction draw du main.js en ajoutant la logique de dessin du serpent, de la nourriture, de la vérification des collisions.</t>
  </si>
  <si>
    <t>Congé - lundi du Jeûne fédéral</t>
  </si>
  <si>
    <t>Réécriture du code de la méthode draw() de main.js car de l'inspiration a été trouvée sur du code moins long et plus optimal d'un tutoriel.</t>
  </si>
  <si>
    <t>https://nlion.fr/blog/jouer-a-snake-en-quelques-lignes-de-codes/</t>
  </si>
  <si>
    <t>Code des trois méthodes initSnake, moveSnake et drawSnake en m'inspirant du code trouvé en ligne.</t>
  </si>
  <si>
    <t>https://codereview.stackexchange.com/questions/118079/javascript-snake-game</t>
  </si>
  <si>
    <t>Rédaction des différentes étapes effectuées jusqu'à maintenant dans le rapport de projet.</t>
  </si>
  <si>
    <t>Maladie.</t>
  </si>
  <si>
    <t>Implémentation de la pause dans le jeu avec calcul du temps de jeu qui, lui, est mis également en pause afin de ne pas impacter le temps de jeu global.</t>
  </si>
  <si>
    <t>Rédaction des dernières modifications ajoutées dans le rapport de projet et finalisation.</t>
  </si>
  <si>
    <t>Fin du projet</t>
  </si>
  <si>
    <t>Rendu du projet</t>
  </si>
  <si>
    <t>STOP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</si>
</sst>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8">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u/>
      <sz val="10"/>
      <color theme="1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5">
    <xf numFmtId="0" fontId="0" fillId="0" borderId="0"/>
    <xf numFmtId="0" fontId="1" fillId="0" borderId="0" applyNumberFormat="0" applyFill="0" applyBorder="0" applyAlignment="0" applyProtection="0">
      <alignment vertical="top"/>
      <protection locked="0"/>
    </xf>
    <xf numFmtId="0" fontId="8" fillId="0" borderId="0"/>
    <xf numFmtId="0" fontId="5" fillId="0" borderId="0"/>
    <xf numFmtId="0" fontId="17" fillId="0" borderId="0" applyNumberFormat="0" applyFill="0" applyBorder="0" applyAlignment="0" applyProtection="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7" fillId="0" borderId="1" xfId="4" applyBorder="1" applyAlignment="1" applyProtection="1">
      <alignment horizontal="left" vertical="top" wrapText="1"/>
      <protection locked="0"/>
    </xf>
    <xf numFmtId="0" fontId="17" fillId="0" borderId="2" xfId="4"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applyAlignment="1"/>
  </cellXfs>
  <cellStyles count="5">
    <cellStyle name="Hyperlink" xfId="4" xr:uid="{00000000-000B-0000-0000-000008000000}"/>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www.youtube.com/watch?v=3RIaH0NnG64&amp;t=5s" TargetMode="External"/><Relationship Id="rId7" Type="http://schemas.openxmlformats.org/officeDocument/2006/relationships/printerSettings" Target="../printerSettings/printerSettings4.bin"/><Relationship Id="rId2" Type="http://schemas.openxmlformats.org/officeDocument/2006/relationships/hyperlink" Target="https://www.youtube.com/watch?v=Je0B3nHhKmM" TargetMode="External"/><Relationship Id="rId1" Type="http://schemas.openxmlformats.org/officeDocument/2006/relationships/hyperlink" Target="https://www.youtube.com/watch?v=uyhzCBEGaBY" TargetMode="External"/><Relationship Id="rId6" Type="http://schemas.openxmlformats.org/officeDocument/2006/relationships/hyperlink" Target="https://nlion.fr/blog/jouer-a-snake-en-quelques-lignes-de-codes/" TargetMode="External"/><Relationship Id="rId11" Type="http://schemas.openxmlformats.org/officeDocument/2006/relationships/image" Target="../media/image7.emf"/><Relationship Id="rId5" Type="http://schemas.openxmlformats.org/officeDocument/2006/relationships/hyperlink" Target="https://codereview.stackexchange.com/questions/118079/javascript-snake-game" TargetMode="External"/><Relationship Id="rId10" Type="http://schemas.openxmlformats.org/officeDocument/2006/relationships/control" Target="../activeX/activeX6.xml"/><Relationship Id="rId4" Type="http://schemas.openxmlformats.org/officeDocument/2006/relationships/hyperlink" Target="https://www.educative.io/blog/javascript-snake-game-tutorial"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1" zoomScaleNormal="100" zoomScaleSheetLayoutView="100" workbookViewId="0">
      <selection activeCell="C34" sqref="C34"/>
    </sheetView>
  </sheetViews>
  <sheetFormatPr defaultColWidth="11.5703125" defaultRowHeight="13.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c r="A1" s="54"/>
      <c r="B1" s="55"/>
      <c r="C1" s="55"/>
      <c r="D1" s="55"/>
      <c r="E1" s="55"/>
      <c r="F1" s="55"/>
      <c r="G1" s="56"/>
    </row>
    <row r="2" spans="1:7" ht="14.25" thickBot="1">
      <c r="A2" s="58"/>
      <c r="B2" s="59"/>
      <c r="C2" s="59"/>
      <c r="D2" s="59"/>
      <c r="E2" s="59"/>
      <c r="F2" s="59"/>
      <c r="G2" s="60"/>
    </row>
    <row r="3" spans="1:7" ht="20.25">
      <c r="A3" s="58"/>
      <c r="B3" s="61" t="s">
        <v>0</v>
      </c>
      <c r="C3" s="62" t="s">
        <v>1</v>
      </c>
      <c r="D3" s="59"/>
      <c r="E3" s="59"/>
      <c r="F3" s="59"/>
      <c r="G3" s="60"/>
    </row>
    <row r="4" spans="1:7" ht="20.25">
      <c r="A4" s="58"/>
      <c r="B4" s="63" t="s">
        <v>2</v>
      </c>
      <c r="C4" s="64" t="s">
        <v>3</v>
      </c>
      <c r="D4" s="59"/>
      <c r="E4" s="59"/>
      <c r="F4" s="59"/>
      <c r="G4" s="60"/>
    </row>
    <row r="5" spans="1:7" ht="20.25">
      <c r="A5" s="58"/>
      <c r="B5" s="63" t="s">
        <v>4</v>
      </c>
      <c r="C5" s="64" t="s">
        <v>5</v>
      </c>
      <c r="D5" s="59"/>
      <c r="E5" s="59"/>
      <c r="F5" s="59"/>
      <c r="G5" s="60"/>
    </row>
    <row r="6" spans="1:7" ht="21" thickBot="1">
      <c r="A6" s="58"/>
      <c r="B6" s="65" t="s">
        <v>6</v>
      </c>
      <c r="C6" s="66" t="s">
        <v>7</v>
      </c>
      <c r="D6" s="59"/>
      <c r="E6" s="59"/>
      <c r="F6" s="59"/>
      <c r="G6" s="60"/>
    </row>
    <row r="7" spans="1:7">
      <c r="A7" s="58"/>
      <c r="B7" s="59"/>
      <c r="C7" s="59"/>
      <c r="D7" s="59"/>
      <c r="E7" s="59"/>
      <c r="F7" s="59"/>
      <c r="G7" s="60"/>
    </row>
    <row r="8" spans="1:7" ht="14.25" thickBot="1">
      <c r="A8" s="58"/>
      <c r="B8" s="59"/>
      <c r="C8" s="59"/>
      <c r="D8" s="59"/>
      <c r="E8" s="59"/>
      <c r="F8" s="59"/>
      <c r="G8" s="60"/>
    </row>
    <row r="9" spans="1:7" ht="20.25">
      <c r="A9" s="58"/>
      <c r="B9" s="61" t="s">
        <v>8</v>
      </c>
      <c r="C9" s="67">
        <v>45894</v>
      </c>
      <c r="D9" s="59"/>
      <c r="E9" s="59"/>
      <c r="F9" s="59"/>
      <c r="G9" s="60"/>
    </row>
    <row r="10" spans="1:7" ht="20.25">
      <c r="A10" s="58"/>
      <c r="B10" s="68" t="s">
        <v>9</v>
      </c>
      <c r="C10" s="69">
        <v>45957</v>
      </c>
      <c r="D10" s="59"/>
      <c r="E10" s="59"/>
      <c r="F10" s="59"/>
      <c r="G10" s="60"/>
    </row>
    <row r="11" spans="1:7" ht="20.25">
      <c r="A11" s="58"/>
      <c r="B11" s="68" t="s">
        <v>10</v>
      </c>
      <c r="C11" s="70">
        <v>8</v>
      </c>
      <c r="D11" s="59"/>
      <c r="E11" s="59"/>
      <c r="F11" s="59"/>
      <c r="G11" s="60"/>
    </row>
    <row r="12" spans="1:7" ht="20.25">
      <c r="A12" s="58"/>
      <c r="B12" s="63" t="s">
        <v>11</v>
      </c>
      <c r="C12" s="71">
        <v>3</v>
      </c>
      <c r="D12" s="59"/>
      <c r="E12" s="59"/>
      <c r="F12" s="59"/>
      <c r="G12" s="60"/>
    </row>
    <row r="13" spans="1:7" ht="20.25">
      <c r="A13" s="58"/>
      <c r="B13" s="63" t="s">
        <v>12</v>
      </c>
      <c r="C13" s="71">
        <v>3</v>
      </c>
      <c r="D13" s="59"/>
      <c r="E13" s="59"/>
      <c r="F13" s="59"/>
      <c r="G13" s="60"/>
    </row>
    <row r="14" spans="1:7" ht="20.25" thickBot="1">
      <c r="A14" s="58"/>
      <c r="B14" s="72"/>
      <c r="C14" s="73" t="s">
        <v>13</v>
      </c>
      <c r="D14" s="59"/>
      <c r="E14" s="59"/>
      <c r="F14" s="59"/>
      <c r="G14" s="60"/>
    </row>
    <row r="15" spans="1:7">
      <c r="A15" s="58"/>
      <c r="B15" s="59"/>
      <c r="C15" s="59"/>
      <c r="D15" s="59"/>
      <c r="E15" s="59"/>
      <c r="F15" s="59"/>
      <c r="G15" s="60"/>
    </row>
    <row r="16" spans="1:7" ht="14.25" thickBot="1">
      <c r="A16" s="74"/>
      <c r="B16" s="75"/>
      <c r="C16" s="75"/>
      <c r="D16" s="75"/>
      <c r="E16" s="75"/>
      <c r="F16" s="75"/>
      <c r="G16" s="76"/>
    </row>
    <row r="17" spans="1:7">
      <c r="A17" s="77"/>
      <c r="B17" s="55"/>
      <c r="C17" s="55"/>
      <c r="D17" s="55"/>
      <c r="E17" s="55"/>
      <c r="F17" s="55"/>
      <c r="G17" s="56"/>
    </row>
    <row r="18" spans="1:7" ht="14.25" thickBot="1">
      <c r="A18" s="78"/>
      <c r="B18" s="59"/>
      <c r="C18" s="59"/>
      <c r="D18" s="59"/>
      <c r="E18" s="59"/>
      <c r="F18" s="59"/>
      <c r="G18" s="60"/>
    </row>
    <row r="19" spans="1:7" ht="21" thickBot="1">
      <c r="A19" s="78"/>
      <c r="B19" s="94" t="s">
        <v>14</v>
      </c>
      <c r="C19" s="95"/>
      <c r="D19" s="59"/>
      <c r="E19" s="59"/>
      <c r="F19" s="59"/>
      <c r="G19" s="60"/>
    </row>
    <row r="20" spans="1:7" ht="20.25">
      <c r="A20" s="78"/>
      <c r="B20" s="79" t="s">
        <v>15</v>
      </c>
      <c r="C20" s="80" t="s">
        <v>16</v>
      </c>
      <c r="D20" s="59"/>
      <c r="E20" s="59"/>
      <c r="F20" s="59"/>
      <c r="G20" s="60"/>
    </row>
    <row r="21" spans="1:7" ht="20.25">
      <c r="A21" s="78"/>
      <c r="B21" s="79">
        <v>1</v>
      </c>
      <c r="C21" s="70" t="s">
        <v>17</v>
      </c>
      <c r="D21" s="59"/>
      <c r="E21" s="59"/>
      <c r="F21" s="59"/>
      <c r="G21" s="60"/>
    </row>
    <row r="22" spans="1:7" ht="20.25">
      <c r="A22" s="78"/>
      <c r="B22" s="79">
        <v>2</v>
      </c>
      <c r="C22" s="70" t="s">
        <v>18</v>
      </c>
      <c r="D22" s="59"/>
      <c r="E22" s="59"/>
      <c r="F22" s="59"/>
      <c r="G22" s="60"/>
    </row>
    <row r="23" spans="1:7" ht="20.25">
      <c r="A23" s="78"/>
      <c r="B23" s="81">
        <v>3</v>
      </c>
      <c r="C23" s="70" t="s">
        <v>19</v>
      </c>
      <c r="D23" s="59"/>
      <c r="E23" s="59"/>
      <c r="F23" s="59"/>
      <c r="G23" s="60"/>
    </row>
    <row r="24" spans="1:7" ht="20.25">
      <c r="A24" s="78"/>
      <c r="B24" s="79">
        <v>4</v>
      </c>
      <c r="C24" s="70" t="s">
        <v>20</v>
      </c>
      <c r="D24" s="59"/>
      <c r="E24" s="59"/>
      <c r="F24" s="59"/>
      <c r="G24" s="60"/>
    </row>
    <row r="25" spans="1:7" ht="20.25">
      <c r="A25" s="78"/>
      <c r="B25" s="79">
        <v>5</v>
      </c>
      <c r="C25" s="70" t="s">
        <v>21</v>
      </c>
      <c r="D25" s="59"/>
      <c r="E25" s="59"/>
      <c r="F25" s="59"/>
      <c r="G25" s="60"/>
    </row>
    <row r="26" spans="1:7" ht="20.25">
      <c r="A26" s="78"/>
      <c r="B26" s="81">
        <v>6</v>
      </c>
      <c r="C26" s="70" t="s">
        <v>22</v>
      </c>
      <c r="D26" s="59"/>
      <c r="E26" s="59"/>
      <c r="F26" s="59"/>
      <c r="G26" s="60"/>
    </row>
    <row r="27" spans="1:7" ht="20.25">
      <c r="A27" s="78"/>
      <c r="B27" s="79">
        <v>7</v>
      </c>
      <c r="C27" s="70" t="s">
        <v>23</v>
      </c>
      <c r="D27" s="59"/>
      <c r="E27" s="59"/>
      <c r="F27" s="59"/>
      <c r="G27" s="60"/>
    </row>
    <row r="28" spans="1:7" ht="20.25">
      <c r="A28" s="78"/>
      <c r="B28" s="79">
        <v>8</v>
      </c>
      <c r="C28" s="71" t="s">
        <v>24</v>
      </c>
      <c r="D28" s="59"/>
      <c r="E28" s="59"/>
      <c r="F28" s="59"/>
      <c r="G28" s="60"/>
    </row>
    <row r="29" spans="1:7" ht="20.25">
      <c r="A29" s="78"/>
      <c r="B29" s="81">
        <v>9</v>
      </c>
      <c r="C29" s="71"/>
      <c r="D29" s="59"/>
      <c r="E29" s="59"/>
      <c r="F29" s="59"/>
      <c r="G29" s="60"/>
    </row>
    <row r="30" spans="1:7" ht="20.25">
      <c r="A30" s="78"/>
      <c r="B30" s="79">
        <v>10</v>
      </c>
      <c r="C30" s="70"/>
      <c r="D30" s="59"/>
      <c r="E30" s="59"/>
      <c r="F30" s="59"/>
      <c r="G30" s="60"/>
    </row>
    <row r="31" spans="1:7" ht="20.25">
      <c r="A31" s="78"/>
      <c r="B31" s="79">
        <v>11</v>
      </c>
      <c r="C31" s="70"/>
      <c r="D31" s="59"/>
      <c r="E31" s="59"/>
      <c r="F31" s="59"/>
      <c r="G31" s="60"/>
    </row>
    <row r="32" spans="1:7" ht="20.25">
      <c r="A32" s="78"/>
      <c r="B32" s="81">
        <v>12</v>
      </c>
      <c r="C32" s="70"/>
      <c r="D32" s="59"/>
      <c r="E32" s="59"/>
      <c r="F32" s="59"/>
      <c r="G32" s="60"/>
    </row>
    <row r="33" spans="1:7" ht="20.25">
      <c r="A33" s="78"/>
      <c r="B33" s="79">
        <v>13</v>
      </c>
      <c r="C33" s="70"/>
      <c r="D33" s="59"/>
      <c r="E33" s="59"/>
      <c r="F33" s="59"/>
      <c r="G33" s="60"/>
    </row>
    <row r="34" spans="1:7" ht="20.25">
      <c r="A34" s="78"/>
      <c r="B34" s="79">
        <v>14</v>
      </c>
      <c r="C34" s="71"/>
      <c r="D34" s="59"/>
      <c r="E34" s="59"/>
      <c r="F34" s="59"/>
      <c r="G34" s="60"/>
    </row>
    <row r="35" spans="1:7" ht="20.25">
      <c r="A35" s="78"/>
      <c r="B35" s="81">
        <v>15</v>
      </c>
      <c r="C35" s="71"/>
      <c r="D35" s="59"/>
      <c r="E35" s="59"/>
      <c r="F35" s="59"/>
      <c r="G35" s="60"/>
    </row>
    <row r="36" spans="1:7" ht="20.25">
      <c r="A36" s="78"/>
      <c r="B36" s="79">
        <v>16</v>
      </c>
      <c r="C36" s="70"/>
      <c r="D36" s="59"/>
      <c r="E36" s="59"/>
      <c r="F36" s="59"/>
      <c r="G36" s="60"/>
    </row>
    <row r="37" spans="1:7" ht="20.25">
      <c r="A37" s="78"/>
      <c r="B37" s="79">
        <v>17</v>
      </c>
      <c r="C37" s="70"/>
      <c r="D37" s="59"/>
      <c r="E37" s="59"/>
      <c r="F37" s="59"/>
      <c r="G37" s="60"/>
    </row>
    <row r="38" spans="1:7" ht="20.25">
      <c r="A38" s="78"/>
      <c r="B38" s="81">
        <v>18</v>
      </c>
      <c r="C38" s="70"/>
      <c r="D38" s="59"/>
      <c r="E38" s="59"/>
      <c r="F38" s="59"/>
      <c r="G38" s="60"/>
    </row>
    <row r="39" spans="1:7" ht="20.25">
      <c r="A39" s="78"/>
      <c r="B39" s="79">
        <v>19</v>
      </c>
      <c r="C39" s="70"/>
      <c r="D39" s="59"/>
      <c r="E39" s="59"/>
      <c r="F39" s="59"/>
      <c r="G39" s="60"/>
    </row>
    <row r="40" spans="1:7" ht="20.25">
      <c r="A40" s="78"/>
      <c r="B40" s="79">
        <v>20</v>
      </c>
      <c r="C40" s="71"/>
      <c r="D40" s="59"/>
      <c r="E40" s="59"/>
      <c r="F40" s="59"/>
      <c r="G40" s="60"/>
    </row>
    <row r="41" spans="1:7" ht="20.25">
      <c r="A41" s="78"/>
      <c r="B41" s="81">
        <v>21</v>
      </c>
      <c r="C41" s="71"/>
      <c r="D41" s="59"/>
      <c r="E41" s="59"/>
      <c r="F41" s="59"/>
      <c r="G41" s="60"/>
    </row>
    <row r="42" spans="1:7" ht="20.25">
      <c r="A42" s="78"/>
      <c r="B42" s="79">
        <v>22</v>
      </c>
      <c r="C42" s="70"/>
      <c r="D42" s="59"/>
      <c r="E42" s="59"/>
      <c r="F42" s="59"/>
      <c r="G42" s="60"/>
    </row>
    <row r="43" spans="1:7" ht="20.25">
      <c r="A43" s="78"/>
      <c r="B43" s="79">
        <v>23</v>
      </c>
      <c r="C43" s="70"/>
      <c r="D43" s="59"/>
      <c r="E43" s="59"/>
      <c r="F43" s="59"/>
      <c r="G43" s="60"/>
    </row>
    <row r="44" spans="1:7" ht="20.25">
      <c r="A44" s="78"/>
      <c r="B44" s="81">
        <v>24</v>
      </c>
      <c r="C44" s="70"/>
      <c r="D44" s="59"/>
      <c r="E44" s="59"/>
      <c r="F44" s="59"/>
      <c r="G44" s="60"/>
    </row>
    <row r="45" spans="1:7" ht="21" thickBot="1">
      <c r="A45" s="78"/>
      <c r="B45" s="82">
        <v>25</v>
      </c>
      <c r="C45" s="83"/>
      <c r="D45" s="59"/>
      <c r="E45" s="59"/>
      <c r="F45" s="59"/>
      <c r="G45" s="60"/>
    </row>
    <row r="46" spans="1:7">
      <c r="A46" s="78"/>
      <c r="B46" s="55"/>
      <c r="C46" s="59"/>
      <c r="D46" s="59"/>
      <c r="E46" s="59"/>
      <c r="F46" s="59"/>
      <c r="G46" s="60"/>
    </row>
    <row r="47" spans="1:7">
      <c r="A47" s="78"/>
      <c r="B47" s="59"/>
      <c r="C47" s="59"/>
      <c r="D47" s="59"/>
      <c r="E47" s="59"/>
      <c r="F47" s="59"/>
      <c r="G47" s="60"/>
    </row>
    <row r="48" spans="1:7">
      <c r="A48" s="78"/>
      <c r="B48" s="59"/>
      <c r="C48" s="59"/>
      <c r="D48" s="59"/>
      <c r="E48" s="59"/>
      <c r="F48" s="59"/>
      <c r="G48" s="60"/>
    </row>
    <row r="49" spans="1:7">
      <c r="A49" s="78"/>
      <c r="B49" s="59"/>
      <c r="C49" s="59"/>
      <c r="D49" s="59"/>
      <c r="E49" s="59"/>
      <c r="F49" s="59"/>
      <c r="G49" s="60"/>
    </row>
    <row r="50" spans="1:7">
      <c r="A50" s="78"/>
      <c r="B50" s="59"/>
      <c r="C50" s="59"/>
      <c r="D50" s="59"/>
      <c r="E50" s="59"/>
      <c r="F50" s="59"/>
      <c r="G50" s="60"/>
    </row>
    <row r="51" spans="1:7">
      <c r="A51" s="78"/>
      <c r="B51" s="59"/>
      <c r="C51" s="59"/>
      <c r="D51" s="59"/>
      <c r="E51" s="59"/>
      <c r="F51" s="59"/>
      <c r="G51" s="60"/>
    </row>
    <row r="52" spans="1:7">
      <c r="A52" s="78"/>
      <c r="B52" s="59"/>
      <c r="C52" s="59"/>
      <c r="D52" s="59"/>
      <c r="E52" s="59"/>
      <c r="F52" s="59"/>
      <c r="G52" s="60"/>
    </row>
    <row r="53" spans="1:7">
      <c r="A53" s="78"/>
      <c r="B53" s="59"/>
      <c r="C53" s="59"/>
      <c r="D53" s="59"/>
      <c r="E53" s="59"/>
      <c r="F53" s="59"/>
      <c r="G53" s="60"/>
    </row>
    <row r="54" spans="1:7" ht="14.25" thickBot="1">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703125" defaultRowHeight="19.5" customHeight="1"/>
  <cols>
    <col min="1" max="1" width="17.85546875" style="20" customWidth="1"/>
    <col min="2" max="2" width="51.28515625" style="20" customWidth="1"/>
    <col min="3" max="3" width="19.42578125" style="20" customWidth="1"/>
    <col min="4" max="16384" width="1.5703125" style="20"/>
  </cols>
  <sheetData>
    <row r="1" spans="1:4" ht="14.25" thickBot="1">
      <c r="B1" s="21"/>
      <c r="C1" s="21"/>
    </row>
    <row r="2" spans="1:4" ht="42.75" customHeight="1" thickBot="1">
      <c r="A2" s="19"/>
      <c r="B2" s="23" t="s">
        <v>25</v>
      </c>
      <c r="C2" s="15" t="s">
        <v>26</v>
      </c>
    </row>
    <row r="3" spans="1:4" ht="19.5" customHeight="1">
      <c r="A3" s="19"/>
      <c r="B3" s="96" t="s">
        <v>16</v>
      </c>
      <c r="C3" s="16">
        <v>0</v>
      </c>
    </row>
    <row r="4" spans="1:4" ht="19.5" customHeight="1">
      <c r="A4" s="19"/>
      <c r="B4" s="97"/>
      <c r="C4" s="22">
        <v>0</v>
      </c>
      <c r="D4" s="29"/>
    </row>
    <row r="16" spans="1:4" ht="19.5" customHeight="1">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1.42578125" defaultRowHeight="13.5"/>
  <cols>
    <col min="2" max="2" width="51.85546875" customWidth="1"/>
    <col min="3" max="3" width="35" customWidth="1"/>
  </cols>
  <sheetData>
    <row r="3" spans="2:3" ht="27.75" customHeight="1">
      <c r="B3" s="25" t="s">
        <v>27</v>
      </c>
      <c r="C3" s="27">
        <v>0</v>
      </c>
    </row>
    <row r="4" spans="2:3" ht="18.75" thickBot="1">
      <c r="B4" s="26" t="s">
        <v>28</v>
      </c>
      <c r="C4" s="28">
        <v>0</v>
      </c>
    </row>
    <row r="39" spans="5: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2578125" defaultRowHeight="13.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c r="A1" s="6" t="s">
        <v>29</v>
      </c>
      <c r="B1" s="7">
        <v>1</v>
      </c>
      <c r="C1" s="17"/>
      <c r="D1" s="85"/>
    </row>
    <row r="2" spans="1:4" ht="27.75" thickBot="1">
      <c r="A2" s="8" t="s">
        <v>30</v>
      </c>
      <c r="B2" s="18" t="s">
        <v>31</v>
      </c>
      <c r="C2" s="8" t="s">
        <v>32</v>
      </c>
      <c r="D2" s="8" t="s">
        <v>33</v>
      </c>
    </row>
    <row r="3" spans="1:4" s="52" customFormat="1">
      <c r="A3" s="5"/>
      <c r="B3" s="4"/>
      <c r="C3" s="9"/>
      <c r="D3" s="9"/>
    </row>
    <row r="4" spans="1:4" s="52" customFormat="1">
      <c r="A4" s="1"/>
      <c r="B4" s="2"/>
      <c r="C4" s="10"/>
      <c r="D4" s="10"/>
    </row>
    <row r="5" spans="1:4" s="52" customFormat="1">
      <c r="A5" s="1"/>
      <c r="B5" s="2"/>
      <c r="C5" s="10"/>
      <c r="D5" s="10"/>
    </row>
    <row r="6" spans="1:4" s="52" customFormat="1">
      <c r="A6" s="1"/>
      <c r="B6" s="2"/>
      <c r="C6" s="10"/>
      <c r="D6" s="10"/>
    </row>
    <row r="7" spans="1:4" s="52" customFormat="1">
      <c r="A7" s="1"/>
      <c r="B7" s="2"/>
      <c r="C7" s="10"/>
      <c r="D7" s="10"/>
    </row>
    <row r="8" spans="1:4" s="52" customFormat="1">
      <c r="A8" s="1"/>
      <c r="B8" s="2"/>
      <c r="C8" s="10"/>
      <c r="D8" s="10"/>
    </row>
    <row r="9" spans="1:4" s="52" customFormat="1">
      <c r="A9" s="2"/>
      <c r="B9" s="2"/>
      <c r="C9" s="10"/>
      <c r="D9" s="10"/>
    </row>
    <row r="10" spans="1:4" s="52" customFormat="1">
      <c r="A10" s="2"/>
      <c r="B10" s="2"/>
      <c r="C10" s="10"/>
      <c r="D10" s="10"/>
    </row>
    <row r="11" spans="1:4" s="52" customFormat="1">
      <c r="A11" s="2"/>
      <c r="B11" s="2"/>
      <c r="C11" s="10"/>
      <c r="D11" s="10"/>
    </row>
    <row r="12" spans="1:4" s="52" customFormat="1" ht="14.25" thickBot="1">
      <c r="A12" s="3"/>
      <c r="B12" s="3"/>
      <c r="C12" s="11"/>
      <c r="D12" s="11"/>
    </row>
    <row r="13" spans="1:4" ht="14.25" thickBot="1">
      <c r="A13" s="12" t="s">
        <v>34</v>
      </c>
      <c r="B13" s="12">
        <f>SUM(B3:B12)</f>
        <v>0</v>
      </c>
      <c r="C13" s="13"/>
      <c r="D13" s="13"/>
    </row>
    <row r="14" spans="1:4" ht="14.25">
      <c r="A14" s="14"/>
      <c r="B14" s="14"/>
      <c r="C14" s="14"/>
      <c r="D14" s="14"/>
    </row>
    <row r="20" spans="1:8" ht="12.75" customHeight="1">
      <c r="A20" s="30"/>
      <c r="B20" s="31"/>
      <c r="C20" s="32"/>
      <c r="D20" s="33"/>
      <c r="F20" s="31"/>
      <c r="G20" s="32"/>
      <c r="H20" s="33"/>
    </row>
    <row r="21" spans="1:8" ht="15">
      <c r="A21" s="30"/>
      <c r="B21" s="34"/>
      <c r="C21" s="30"/>
      <c r="D21" s="30"/>
      <c r="F21" s="34"/>
      <c r="G21" s="30"/>
      <c r="H21" s="30"/>
    </row>
    <row r="22" spans="1:8">
      <c r="A22" s="35"/>
      <c r="B22" s="36"/>
      <c r="C22" s="37"/>
      <c r="D22" s="37"/>
      <c r="F22" s="36"/>
      <c r="G22" s="37"/>
      <c r="H22" s="37"/>
    </row>
    <row r="23" spans="1:8">
      <c r="A23" s="35"/>
      <c r="B23" s="36"/>
      <c r="C23" s="37"/>
      <c r="D23" s="37"/>
      <c r="F23" s="36"/>
      <c r="G23" s="37"/>
      <c r="H23" s="37"/>
    </row>
    <row r="24" spans="1:8">
      <c r="A24" s="35"/>
      <c r="B24" s="36"/>
      <c r="C24" s="37"/>
      <c r="D24" s="37"/>
      <c r="F24" s="36"/>
      <c r="G24" s="37"/>
      <c r="H24" s="37"/>
    </row>
    <row r="25" spans="1:8">
      <c r="A25" s="35"/>
      <c r="B25" s="36"/>
      <c r="C25" s="37"/>
      <c r="D25" s="37"/>
      <c r="F25" s="36"/>
      <c r="G25" s="37"/>
      <c r="H25" s="37"/>
    </row>
    <row r="26" spans="1:8">
      <c r="A26" s="36"/>
      <c r="B26" s="36"/>
      <c r="C26" s="37"/>
      <c r="D26" s="37"/>
      <c r="F26" s="36"/>
      <c r="G26" s="37"/>
      <c r="H26" s="37"/>
    </row>
    <row r="27" spans="1:8">
      <c r="A27" s="36"/>
      <c r="B27" s="36"/>
      <c r="C27" s="37"/>
      <c r="D27" s="37"/>
      <c r="F27" s="36"/>
      <c r="G27" s="37"/>
      <c r="H27" s="37"/>
    </row>
    <row r="28" spans="1:8">
      <c r="A28" s="36"/>
      <c r="B28" s="36"/>
      <c r="C28" s="37"/>
      <c r="D28" s="37"/>
      <c r="F28" s="36"/>
      <c r="G28" s="37"/>
      <c r="H28" s="37"/>
    </row>
    <row r="29" spans="1:8">
      <c r="A29" s="36"/>
      <c r="B29" s="36"/>
      <c r="C29" s="37"/>
      <c r="D29" s="37"/>
      <c r="F29" s="36"/>
      <c r="G29" s="37"/>
      <c r="H29" s="37"/>
    </row>
    <row r="30" spans="1:8">
      <c r="A30" s="38"/>
      <c r="B30" s="38"/>
      <c r="C30" s="39"/>
      <c r="D30" s="39"/>
      <c r="F30" s="38"/>
      <c r="G30" s="39"/>
      <c r="H30" s="39"/>
    </row>
    <row r="31" spans="1:8" ht="14.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2578125" defaultRowHeight="13.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c r="A1" s="42" t="s">
        <v>29</v>
      </c>
      <c r="B1" s="43">
        <v>1</v>
      </c>
      <c r="C1" s="44" t="s">
        <v>35</v>
      </c>
      <c r="D1" s="53"/>
    </row>
    <row r="2" spans="1:4" ht="27.75" thickBot="1">
      <c r="A2" s="45" t="s">
        <v>30</v>
      </c>
      <c r="B2" s="46" t="s">
        <v>31</v>
      </c>
      <c r="C2" s="45" t="s">
        <v>32</v>
      </c>
      <c r="D2" s="45" t="s">
        <v>33</v>
      </c>
    </row>
    <row r="3" spans="1:4" s="52" customFormat="1">
      <c r="A3" s="5"/>
      <c r="B3" s="4"/>
      <c r="C3" s="9"/>
      <c r="D3" s="9"/>
    </row>
    <row r="4" spans="1:4" s="52" customFormat="1">
      <c r="A4" s="1"/>
      <c r="B4" s="2"/>
      <c r="C4" s="10"/>
      <c r="D4" s="10"/>
    </row>
    <row r="5" spans="1:4" s="52" customFormat="1">
      <c r="A5" s="1"/>
      <c r="B5" s="2"/>
      <c r="C5" s="10"/>
      <c r="D5" s="10"/>
    </row>
    <row r="6" spans="1:4" s="52" customFormat="1">
      <c r="A6" s="1"/>
      <c r="B6" s="2"/>
      <c r="C6" s="10"/>
      <c r="D6" s="10"/>
    </row>
    <row r="7" spans="1:4" s="52" customFormat="1">
      <c r="A7" s="1"/>
      <c r="B7" s="2"/>
      <c r="C7" s="10"/>
      <c r="D7" s="10"/>
    </row>
    <row r="8" spans="1:4" s="52" customFormat="1">
      <c r="A8" s="1"/>
      <c r="B8" s="2"/>
      <c r="C8" s="10"/>
      <c r="D8" s="10"/>
    </row>
    <row r="9" spans="1:4" s="52" customFormat="1">
      <c r="A9" s="1"/>
      <c r="B9" s="2"/>
      <c r="C9" s="10"/>
      <c r="D9" s="10"/>
    </row>
    <row r="10" spans="1:4" s="52" customFormat="1">
      <c r="A10" s="1"/>
      <c r="B10" s="2"/>
      <c r="C10" s="10"/>
      <c r="D10" s="10"/>
    </row>
    <row r="11" spans="1:4" s="52" customFormat="1">
      <c r="A11" s="1"/>
      <c r="B11" s="2"/>
      <c r="C11" s="10"/>
      <c r="D11" s="10"/>
    </row>
    <row r="12" spans="1:4" s="52" customFormat="1">
      <c r="A12" s="2"/>
      <c r="B12" s="2"/>
      <c r="C12" s="10"/>
      <c r="D12" s="10"/>
    </row>
    <row r="13" spans="1:4" s="52" customFormat="1">
      <c r="A13" s="2"/>
      <c r="B13" s="2"/>
      <c r="C13" s="10"/>
      <c r="D13" s="10"/>
    </row>
    <row r="14" spans="1:4" s="52" customFormat="1">
      <c r="A14" s="2"/>
      <c r="B14" s="2"/>
      <c r="C14" s="10"/>
      <c r="D14" s="10"/>
    </row>
    <row r="15" spans="1:4" s="52" customFormat="1">
      <c r="A15" s="50"/>
      <c r="B15" s="50"/>
      <c r="C15" s="51"/>
      <c r="D15" s="51"/>
    </row>
    <row r="16" spans="1:4" s="52" customFormat="1">
      <c r="A16" s="50"/>
      <c r="B16" s="50"/>
      <c r="C16" s="51"/>
      <c r="D16" s="51"/>
    </row>
    <row r="17" spans="1:8" s="52" customFormat="1" ht="14.25" thickBot="1">
      <c r="A17" s="3"/>
      <c r="B17" s="3"/>
      <c r="C17" s="11"/>
      <c r="D17" s="11"/>
    </row>
    <row r="18" spans="1:8" ht="14.25" thickBot="1">
      <c r="A18" s="47" t="s">
        <v>34</v>
      </c>
      <c r="B18" s="47">
        <f>SUM(B3:B17)</f>
        <v>0</v>
      </c>
      <c r="C18" s="48"/>
      <c r="D18" s="48"/>
    </row>
    <row r="19" spans="1:8" ht="14.25">
      <c r="A19" s="49"/>
      <c r="B19" s="49"/>
      <c r="C19" s="49"/>
      <c r="D19" s="49"/>
    </row>
    <row r="25" spans="1:8" ht="12.75" customHeight="1">
      <c r="A25" s="30"/>
      <c r="B25" s="31"/>
      <c r="C25" s="32"/>
      <c r="D25" s="33"/>
      <c r="F25" s="31"/>
      <c r="G25" s="32"/>
      <c r="H25" s="33"/>
    </row>
    <row r="26" spans="1:8" ht="15">
      <c r="A26" s="30"/>
      <c r="B26" s="34"/>
      <c r="C26" s="30"/>
      <c r="D26" s="30"/>
      <c r="F26" s="34"/>
      <c r="G26" s="30"/>
      <c r="H26" s="30"/>
    </row>
    <row r="27" spans="1:8">
      <c r="A27" s="35"/>
      <c r="B27" s="36"/>
      <c r="C27" s="37"/>
      <c r="D27" s="37"/>
      <c r="F27" s="36"/>
      <c r="G27" s="37"/>
      <c r="H27" s="37"/>
    </row>
    <row r="28" spans="1:8">
      <c r="A28" s="35"/>
      <c r="B28" s="36"/>
      <c r="C28" s="37"/>
      <c r="D28" s="37"/>
      <c r="F28" s="36"/>
      <c r="G28" s="37"/>
      <c r="H28" s="37"/>
    </row>
    <row r="29" spans="1:8">
      <c r="A29" s="35"/>
      <c r="B29" s="36"/>
      <c r="C29" s="37"/>
      <c r="D29" s="37"/>
      <c r="F29" s="36"/>
      <c r="G29" s="37"/>
      <c r="H29" s="37"/>
    </row>
    <row r="30" spans="1:8">
      <c r="A30" s="35"/>
      <c r="B30" s="36"/>
      <c r="C30" s="37"/>
      <c r="D30" s="37"/>
      <c r="F30" s="36"/>
      <c r="G30" s="37"/>
      <c r="H30" s="37"/>
    </row>
    <row r="31" spans="1:8">
      <c r="A31" s="36"/>
      <c r="B31" s="36"/>
      <c r="C31" s="37"/>
      <c r="D31" s="37"/>
      <c r="F31" s="36"/>
      <c r="G31" s="37"/>
      <c r="H31" s="37"/>
    </row>
    <row r="32" spans="1:8">
      <c r="A32" s="36"/>
      <c r="B32" s="36"/>
      <c r="C32" s="37"/>
      <c r="D32" s="37"/>
      <c r="F32" s="36"/>
      <c r="G32" s="37"/>
      <c r="H32" s="37"/>
    </row>
    <row r="33" spans="1:8">
      <c r="A33" s="36"/>
      <c r="B33" s="36"/>
      <c r="C33" s="37"/>
      <c r="D33" s="37"/>
      <c r="F33" s="36"/>
      <c r="G33" s="37"/>
      <c r="H33" s="37"/>
    </row>
    <row r="34" spans="1:8">
      <c r="A34" s="36"/>
      <c r="B34" s="36"/>
      <c r="C34" s="37"/>
      <c r="D34" s="37"/>
      <c r="F34" s="36"/>
      <c r="G34" s="37"/>
      <c r="H34" s="37"/>
    </row>
    <row r="35" spans="1:8">
      <c r="A35" s="38"/>
      <c r="B35" s="38"/>
      <c r="C35" s="39"/>
      <c r="D35" s="39"/>
      <c r="F35" s="38"/>
      <c r="G35" s="39"/>
      <c r="H35" s="39"/>
    </row>
    <row r="36" spans="1:8" ht="14.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8A112-36B9-4D90-BBF1-7D636AF913F3}">
  <sheetPr codeName="Feuil9"/>
  <dimension ref="A1:H153"/>
  <sheetViews>
    <sheetView tabSelected="1" topLeftCell="A132" workbookViewId="0">
      <selection activeCell="C158" sqref="C158"/>
    </sheetView>
  </sheetViews>
  <sheetFormatPr defaultColWidth="11.42578125" defaultRowHeight="13.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c r="A1" s="42" t="s">
        <v>29</v>
      </c>
      <c r="B1" s="43">
        <v>1</v>
      </c>
      <c r="C1" s="44" t="s">
        <v>35</v>
      </c>
      <c r="D1" s="53">
        <f>Donnees!$C$9</f>
        <v>45894</v>
      </c>
    </row>
    <row r="2" spans="1:4" ht="27.75" thickBot="1">
      <c r="A2" s="45" t="s">
        <v>30</v>
      </c>
      <c r="B2" s="46" t="s">
        <v>31</v>
      </c>
      <c r="C2" s="45" t="s">
        <v>32</v>
      </c>
      <c r="D2" s="45" t="s">
        <v>33</v>
      </c>
    </row>
    <row r="3" spans="1:4" s="52" customFormat="1" ht="27">
      <c r="A3" s="5" t="s">
        <v>17</v>
      </c>
      <c r="B3" s="4">
        <v>3</v>
      </c>
      <c r="C3" s="88" t="s">
        <v>36</v>
      </c>
      <c r="D3" s="90"/>
    </row>
    <row r="4" spans="1:4" s="52" customFormat="1" ht="27">
      <c r="A4" s="1" t="s">
        <v>18</v>
      </c>
      <c r="B4" s="2">
        <v>2</v>
      </c>
      <c r="C4" s="89" t="s">
        <v>37</v>
      </c>
      <c r="D4" s="89" t="s">
        <v>38</v>
      </c>
    </row>
    <row r="5" spans="1:4" s="52" customFormat="1" ht="63.75">
      <c r="A5" s="1" t="s">
        <v>19</v>
      </c>
      <c r="B5" s="2">
        <v>2</v>
      </c>
      <c r="C5" s="89" t="s">
        <v>39</v>
      </c>
      <c r="D5" s="91" t="s">
        <v>40</v>
      </c>
    </row>
    <row r="6" spans="1:4" s="52" customFormat="1" ht="27">
      <c r="A6" s="1" t="s">
        <v>20</v>
      </c>
      <c r="B6" s="2">
        <v>2</v>
      </c>
      <c r="C6" s="89" t="s">
        <v>41</v>
      </c>
      <c r="D6" s="91" t="s">
        <v>42</v>
      </c>
    </row>
    <row r="7" spans="1:4" s="52" customFormat="1">
      <c r="A7" s="1"/>
      <c r="B7" s="2"/>
      <c r="C7" s="10"/>
      <c r="D7" s="10"/>
    </row>
    <row r="8" spans="1:4" s="52" customFormat="1">
      <c r="A8" s="1"/>
      <c r="B8" s="2"/>
      <c r="C8" s="10"/>
      <c r="D8" s="10"/>
    </row>
    <row r="9" spans="1:4" s="52" customFormat="1">
      <c r="A9" s="1"/>
      <c r="B9" s="2"/>
      <c r="C9" s="10"/>
      <c r="D9" s="10"/>
    </row>
    <row r="10" spans="1:4" s="52" customFormat="1">
      <c r="A10" s="1"/>
      <c r="B10" s="2"/>
      <c r="C10" s="10"/>
      <c r="D10" s="10"/>
    </row>
    <row r="11" spans="1:4" s="52" customFormat="1">
      <c r="A11" s="1"/>
      <c r="B11" s="2"/>
      <c r="C11" s="10"/>
      <c r="D11" s="10"/>
    </row>
    <row r="12" spans="1:4" s="52" customFormat="1">
      <c r="A12" s="2"/>
      <c r="B12" s="2"/>
      <c r="C12" s="10"/>
      <c r="D12" s="10"/>
    </row>
    <row r="13" spans="1:4" s="52" customFormat="1">
      <c r="A13" s="2"/>
      <c r="B13" s="2"/>
      <c r="C13" s="10"/>
      <c r="D13" s="10"/>
    </row>
    <row r="14" spans="1:4" s="52" customFormat="1">
      <c r="A14" s="2"/>
      <c r="B14" s="2"/>
      <c r="C14" s="10"/>
      <c r="D14" s="10"/>
    </row>
    <row r="15" spans="1:4" s="52" customFormat="1">
      <c r="A15" s="50"/>
      <c r="B15" s="50"/>
      <c r="C15" s="51"/>
      <c r="D15" s="51"/>
    </row>
    <row r="16" spans="1:4" s="52" customFormat="1">
      <c r="A16" s="50"/>
      <c r="B16" s="50"/>
      <c r="C16" s="51"/>
      <c r="D16" s="51"/>
    </row>
    <row r="17" spans="1:8" s="52" customFormat="1" ht="14.25" thickBot="1">
      <c r="A17" s="3"/>
      <c r="B17" s="3"/>
      <c r="C17" s="11"/>
      <c r="D17" s="11"/>
    </row>
    <row r="18" spans="1:8" ht="14.25" thickBot="1">
      <c r="A18" s="47" t="s">
        <v>34</v>
      </c>
      <c r="B18" s="47">
        <f>SUM(B3:B17)</f>
        <v>9</v>
      </c>
      <c r="C18" s="86" t="s">
        <v>43</v>
      </c>
      <c r="D18" s="48"/>
    </row>
    <row r="19" spans="1:8" ht="15" thickBot="1">
      <c r="A19" s="49"/>
      <c r="B19" s="49"/>
      <c r="C19" s="49"/>
      <c r="D19" s="49"/>
    </row>
    <row r="20" spans="1:8" ht="18.75" thickBot="1">
      <c r="A20" s="42" t="s">
        <v>29</v>
      </c>
      <c r="B20" s="43">
        <v>2</v>
      </c>
      <c r="C20" s="44" t="s">
        <v>35</v>
      </c>
      <c r="D20" s="53">
        <f>$D$1+7</f>
        <v>45901</v>
      </c>
    </row>
    <row r="21" spans="1:8" ht="27.75" thickBot="1">
      <c r="A21" s="45" t="s">
        <v>30</v>
      </c>
      <c r="B21" s="46" t="s">
        <v>31</v>
      </c>
      <c r="C21" s="45" t="s">
        <v>32</v>
      </c>
      <c r="D21" s="45" t="s">
        <v>33</v>
      </c>
    </row>
    <row r="22" spans="1:8" ht="27">
      <c r="A22" s="5" t="s">
        <v>17</v>
      </c>
      <c r="B22" s="4">
        <v>1</v>
      </c>
      <c r="C22" s="88" t="s">
        <v>44</v>
      </c>
      <c r="D22" s="90" t="s">
        <v>45</v>
      </c>
    </row>
    <row r="23" spans="1:8" ht="40.5">
      <c r="A23" s="1" t="s">
        <v>21</v>
      </c>
      <c r="B23" s="2">
        <v>3</v>
      </c>
      <c r="C23" s="89" t="s">
        <v>46</v>
      </c>
      <c r="D23" s="10" t="s">
        <v>42</v>
      </c>
    </row>
    <row r="24" spans="1:8" ht="27">
      <c r="A24" s="1" t="s">
        <v>19</v>
      </c>
      <c r="B24" s="2">
        <v>2</v>
      </c>
      <c r="C24" s="89" t="s">
        <v>47</v>
      </c>
      <c r="D24" s="10" t="s">
        <v>42</v>
      </c>
    </row>
    <row r="25" spans="1:8" ht="12.75" customHeight="1">
      <c r="A25" s="1" t="s">
        <v>19</v>
      </c>
      <c r="B25" s="2">
        <v>3</v>
      </c>
      <c r="C25" s="89" t="s">
        <v>48</v>
      </c>
      <c r="D25" s="10" t="s">
        <v>49</v>
      </c>
      <c r="F25" s="31"/>
      <c r="G25" s="32"/>
      <c r="H25" s="33"/>
    </row>
    <row r="26" spans="1:8" ht="15">
      <c r="A26" s="1"/>
      <c r="B26" s="2"/>
      <c r="C26" s="10"/>
      <c r="D26" s="10"/>
      <c r="F26" s="34"/>
      <c r="G26" s="30"/>
      <c r="H26" s="30"/>
    </row>
    <row r="27" spans="1:8">
      <c r="A27" s="1"/>
      <c r="B27" s="2"/>
      <c r="C27" s="10"/>
      <c r="D27" s="10"/>
      <c r="F27" s="36"/>
      <c r="G27" s="37"/>
      <c r="H27" s="37"/>
    </row>
    <row r="28" spans="1:8">
      <c r="A28" s="1"/>
      <c r="B28" s="2"/>
      <c r="C28" s="10"/>
      <c r="D28" s="10"/>
      <c r="F28" s="36"/>
      <c r="G28" s="37"/>
      <c r="H28" s="37"/>
    </row>
    <row r="29" spans="1:8">
      <c r="A29" s="1"/>
      <c r="B29" s="2"/>
      <c r="C29" s="10"/>
      <c r="D29" s="10"/>
      <c r="F29" s="36"/>
      <c r="G29" s="37"/>
      <c r="H29" s="37"/>
    </row>
    <row r="30" spans="1:8">
      <c r="A30" s="1"/>
      <c r="B30" s="2"/>
      <c r="C30" s="10"/>
      <c r="D30" s="10"/>
      <c r="F30" s="36"/>
      <c r="G30" s="37"/>
      <c r="H30" s="37"/>
    </row>
    <row r="31" spans="1:8">
      <c r="A31" s="2"/>
      <c r="B31" s="2"/>
      <c r="C31" s="10"/>
      <c r="D31" s="10"/>
      <c r="F31" s="36"/>
      <c r="G31" s="37"/>
      <c r="H31" s="37"/>
    </row>
    <row r="32" spans="1:8">
      <c r="A32" s="2"/>
      <c r="B32" s="2"/>
      <c r="C32" s="10"/>
      <c r="D32" s="10"/>
      <c r="F32" s="36"/>
      <c r="G32" s="37"/>
      <c r="H32" s="37"/>
    </row>
    <row r="33" spans="1:8">
      <c r="A33" s="2"/>
      <c r="B33" s="2"/>
      <c r="C33" s="10"/>
      <c r="D33" s="10"/>
      <c r="F33" s="36"/>
      <c r="G33" s="37"/>
      <c r="H33" s="37"/>
    </row>
    <row r="34" spans="1:8">
      <c r="A34" s="50"/>
      <c r="B34" s="50"/>
      <c r="C34" s="51"/>
      <c r="D34" s="51"/>
      <c r="F34" s="36"/>
      <c r="G34" s="37"/>
      <c r="H34" s="37"/>
    </row>
    <row r="35" spans="1:8">
      <c r="A35" s="50"/>
      <c r="B35" s="50"/>
      <c r="C35" s="51"/>
      <c r="D35" s="51"/>
      <c r="F35" s="38"/>
      <c r="G35" s="39"/>
      <c r="H35" s="39"/>
    </row>
    <row r="36" spans="1:8" ht="15" thickBot="1">
      <c r="A36" s="3"/>
      <c r="B36" s="3"/>
      <c r="C36" s="11"/>
      <c r="D36" s="11"/>
      <c r="F36" s="40"/>
      <c r="G36" s="40"/>
      <c r="H36" s="40"/>
    </row>
    <row r="37" spans="1:8" ht="14.25" thickBot="1">
      <c r="A37" s="47" t="s">
        <v>34</v>
      </c>
      <c r="B37" s="47">
        <f>SUM(B22:B36)</f>
        <v>9</v>
      </c>
      <c r="C37" s="86" t="s">
        <v>43</v>
      </c>
      <c r="D37" s="48"/>
    </row>
    <row r="38" spans="1:8" ht="15" thickBot="1">
      <c r="A38" s="49"/>
      <c r="B38" s="49"/>
      <c r="C38" s="49"/>
      <c r="D38" s="49"/>
    </row>
    <row r="39" spans="1:8" ht="18.75" thickBot="1">
      <c r="A39" s="42" t="s">
        <v>29</v>
      </c>
      <c r="B39" s="43">
        <v>3</v>
      </c>
      <c r="C39" s="44" t="s">
        <v>35</v>
      </c>
      <c r="D39" s="53">
        <f>$D$20+7</f>
        <v>45908</v>
      </c>
    </row>
    <row r="40" spans="1:8" ht="27.75" thickBot="1">
      <c r="A40" s="45" t="s">
        <v>30</v>
      </c>
      <c r="B40" s="46" t="s">
        <v>31</v>
      </c>
      <c r="C40" s="45" t="s">
        <v>32</v>
      </c>
      <c r="D40" s="45" t="s">
        <v>33</v>
      </c>
    </row>
    <row r="41" spans="1:8">
      <c r="A41" s="5" t="s">
        <v>16</v>
      </c>
      <c r="B41" s="4">
        <v>9</v>
      </c>
      <c r="C41" s="88" t="s">
        <v>50</v>
      </c>
      <c r="D41" s="9"/>
    </row>
    <row r="42" spans="1:8">
      <c r="A42" s="1"/>
      <c r="B42" s="2"/>
      <c r="C42" s="10"/>
      <c r="D42" s="10"/>
    </row>
    <row r="43" spans="1:8">
      <c r="A43" s="1"/>
      <c r="B43" s="2"/>
      <c r="C43" s="10"/>
      <c r="D43" s="10"/>
    </row>
    <row r="44" spans="1:8">
      <c r="A44" s="1"/>
      <c r="B44" s="2"/>
      <c r="C44" s="10"/>
      <c r="D44" s="10"/>
    </row>
    <row r="45" spans="1:8">
      <c r="A45" s="1"/>
      <c r="B45" s="2"/>
      <c r="C45" s="10"/>
      <c r="D45" s="10"/>
    </row>
    <row r="46" spans="1:8">
      <c r="A46" s="1"/>
      <c r="B46" s="2"/>
      <c r="C46" s="10"/>
      <c r="D46" s="10"/>
    </row>
    <row r="47" spans="1:8">
      <c r="A47" s="1"/>
      <c r="B47" s="2"/>
      <c r="C47" s="10"/>
      <c r="D47" s="10"/>
    </row>
    <row r="48" spans="1:8">
      <c r="A48" s="1"/>
      <c r="B48" s="2"/>
      <c r="C48" s="10"/>
      <c r="D48" s="10"/>
    </row>
    <row r="49" spans="1:4">
      <c r="A49" s="1"/>
      <c r="B49" s="2"/>
      <c r="C49" s="10"/>
      <c r="D49" s="10"/>
    </row>
    <row r="50" spans="1:4">
      <c r="A50" s="2"/>
      <c r="B50" s="2"/>
      <c r="C50" s="10"/>
      <c r="D50" s="10"/>
    </row>
    <row r="51" spans="1:4">
      <c r="A51" s="2"/>
      <c r="B51" s="2"/>
      <c r="C51" s="10"/>
      <c r="D51" s="10"/>
    </row>
    <row r="52" spans="1:4">
      <c r="A52" s="2"/>
      <c r="B52" s="2"/>
      <c r="C52" s="10"/>
      <c r="D52" s="10"/>
    </row>
    <row r="53" spans="1:4">
      <c r="A53" s="50"/>
      <c r="B53" s="50"/>
      <c r="C53" s="51"/>
      <c r="D53" s="51"/>
    </row>
    <row r="54" spans="1:4">
      <c r="A54" s="50"/>
      <c r="B54" s="50"/>
      <c r="C54" s="51"/>
      <c r="D54" s="51"/>
    </row>
    <row r="55" spans="1:4" ht="14.25" thickBot="1">
      <c r="A55" s="3"/>
      <c r="B55" s="3"/>
      <c r="C55" s="11"/>
      <c r="D55" s="11"/>
    </row>
    <row r="56" spans="1:4" ht="14.25" thickBot="1">
      <c r="A56" s="47" t="s">
        <v>34</v>
      </c>
      <c r="B56" s="47">
        <f>SUM(B41:B55)</f>
        <v>9</v>
      </c>
      <c r="C56" s="86" t="s">
        <v>43</v>
      </c>
      <c r="D56" s="48"/>
    </row>
    <row r="57" spans="1:4" ht="15" thickBot="1">
      <c r="A57" s="49"/>
      <c r="B57" s="49"/>
      <c r="C57" s="49"/>
      <c r="D57" s="49"/>
    </row>
    <row r="58" spans="1:4" ht="18.75" thickBot="1">
      <c r="A58" s="42" t="s">
        <v>29</v>
      </c>
      <c r="B58" s="43">
        <v>4</v>
      </c>
      <c r="C58" s="44" t="s">
        <v>35</v>
      </c>
      <c r="D58" s="53">
        <f>$D$39+7</f>
        <v>45915</v>
      </c>
    </row>
    <row r="59" spans="1:4" ht="27.75" thickBot="1">
      <c r="A59" s="45" t="s">
        <v>30</v>
      </c>
      <c r="B59" s="46" t="s">
        <v>31</v>
      </c>
      <c r="C59" s="45" t="s">
        <v>32</v>
      </c>
      <c r="D59" s="45" t="s">
        <v>33</v>
      </c>
    </row>
    <row r="60" spans="1:4" ht="36.75">
      <c r="A60" s="5" t="s">
        <v>19</v>
      </c>
      <c r="B60" s="4">
        <v>5</v>
      </c>
      <c r="C60" s="88" t="s">
        <v>51</v>
      </c>
      <c r="D60" s="92" t="s">
        <v>52</v>
      </c>
    </row>
    <row r="61" spans="1:4" ht="27">
      <c r="A61" s="1" t="s">
        <v>22</v>
      </c>
      <c r="B61" s="2">
        <v>4</v>
      </c>
      <c r="C61" s="89" t="s">
        <v>53</v>
      </c>
      <c r="D61" s="10"/>
    </row>
    <row r="62" spans="1:4">
      <c r="A62" s="1"/>
      <c r="B62" s="2"/>
      <c r="C62" s="10"/>
      <c r="D62" s="10"/>
    </row>
    <row r="63" spans="1:4">
      <c r="A63" s="1"/>
      <c r="B63" s="2"/>
      <c r="C63" s="10"/>
      <c r="D63" s="10"/>
    </row>
    <row r="64" spans="1:4">
      <c r="A64" s="1"/>
      <c r="B64" s="2"/>
      <c r="C64" s="10"/>
      <c r="D64" s="10"/>
    </row>
    <row r="65" spans="1:4">
      <c r="A65" s="1"/>
      <c r="B65" s="2"/>
      <c r="C65" s="10"/>
      <c r="D65" s="10"/>
    </row>
    <row r="66" spans="1:4">
      <c r="A66" s="1"/>
      <c r="B66" s="2"/>
      <c r="C66" s="10"/>
      <c r="D66" s="10"/>
    </row>
    <row r="67" spans="1:4">
      <c r="A67" s="1"/>
      <c r="B67" s="2"/>
      <c r="C67" s="10"/>
      <c r="D67" s="10"/>
    </row>
    <row r="68" spans="1:4">
      <c r="A68" s="1"/>
      <c r="B68" s="2"/>
      <c r="C68" s="10"/>
      <c r="D68" s="10"/>
    </row>
    <row r="69" spans="1:4">
      <c r="A69" s="2"/>
      <c r="B69" s="2"/>
      <c r="C69" s="10"/>
      <c r="D69" s="10"/>
    </row>
    <row r="70" spans="1:4">
      <c r="A70" s="2"/>
      <c r="B70" s="2"/>
      <c r="C70" s="10"/>
      <c r="D70" s="10"/>
    </row>
    <row r="71" spans="1:4">
      <c r="A71" s="2"/>
      <c r="B71" s="2"/>
      <c r="C71" s="10"/>
      <c r="D71" s="10"/>
    </row>
    <row r="72" spans="1:4">
      <c r="A72" s="50"/>
      <c r="B72" s="50"/>
      <c r="C72" s="51"/>
      <c r="D72" s="51"/>
    </row>
    <row r="73" spans="1:4">
      <c r="A73" s="50"/>
      <c r="B73" s="50"/>
      <c r="C73" s="51"/>
      <c r="D73" s="51"/>
    </row>
    <row r="74" spans="1:4" ht="14.25" thickBot="1">
      <c r="A74" s="3"/>
      <c r="B74" s="3"/>
      <c r="C74" s="11"/>
      <c r="D74" s="11"/>
    </row>
    <row r="75" spans="1:4" ht="14.25" thickBot="1">
      <c r="A75" s="47" t="s">
        <v>34</v>
      </c>
      <c r="B75" s="47">
        <f>SUM(B60:B74)</f>
        <v>9</v>
      </c>
      <c r="C75" s="86" t="s">
        <v>43</v>
      </c>
      <c r="D75" s="48"/>
    </row>
    <row r="76" spans="1:4" ht="15" thickBot="1">
      <c r="A76" s="49"/>
      <c r="B76" s="49"/>
      <c r="C76" s="49"/>
      <c r="D76" s="49"/>
    </row>
    <row r="77" spans="1:4" ht="18.75" thickBot="1">
      <c r="A77" s="42" t="s">
        <v>29</v>
      </c>
      <c r="B77" s="43">
        <v>5</v>
      </c>
      <c r="C77" s="44" t="s">
        <v>35</v>
      </c>
      <c r="D77" s="53">
        <f>$D$58+7</f>
        <v>45922</v>
      </c>
    </row>
    <row r="78" spans="1:4" ht="27.75" thickBot="1">
      <c r="A78" s="45" t="s">
        <v>30</v>
      </c>
      <c r="B78" s="46" t="s">
        <v>31</v>
      </c>
      <c r="C78" s="45" t="s">
        <v>32</v>
      </c>
      <c r="D78" s="45" t="s">
        <v>33</v>
      </c>
    </row>
    <row r="79" spans="1:4">
      <c r="A79" s="5" t="s">
        <v>16</v>
      </c>
      <c r="B79" s="4">
        <v>9</v>
      </c>
      <c r="C79" s="9" t="s">
        <v>54</v>
      </c>
      <c r="D79" s="92"/>
    </row>
    <row r="80" spans="1:4">
      <c r="A80" s="1"/>
      <c r="B80" s="2"/>
      <c r="C80" s="10"/>
      <c r="D80" s="93"/>
    </row>
    <row r="81" spans="1:4">
      <c r="A81" s="1"/>
      <c r="B81" s="2"/>
      <c r="C81" s="10"/>
      <c r="D81" s="10"/>
    </row>
    <row r="82" spans="1:4">
      <c r="A82" s="1"/>
      <c r="B82" s="2"/>
      <c r="C82" s="10"/>
      <c r="D82" s="10"/>
    </row>
    <row r="83" spans="1:4">
      <c r="A83" s="1"/>
      <c r="B83" s="2"/>
      <c r="C83" s="10"/>
      <c r="D83" s="10"/>
    </row>
    <row r="84" spans="1:4">
      <c r="A84" s="1"/>
      <c r="B84" s="2"/>
      <c r="C84" s="10"/>
      <c r="D84" s="10"/>
    </row>
    <row r="85" spans="1:4">
      <c r="A85" s="1"/>
      <c r="B85" s="2"/>
      <c r="C85" s="10"/>
      <c r="D85" s="10"/>
    </row>
    <row r="86" spans="1:4">
      <c r="A86" s="1"/>
      <c r="B86" s="2"/>
      <c r="C86" s="10"/>
      <c r="D86" s="10"/>
    </row>
    <row r="87" spans="1:4">
      <c r="A87" s="1"/>
      <c r="B87" s="2"/>
      <c r="C87" s="10"/>
      <c r="D87" s="10"/>
    </row>
    <row r="88" spans="1:4">
      <c r="A88" s="2"/>
      <c r="B88" s="2"/>
      <c r="C88" s="10"/>
      <c r="D88" s="10"/>
    </row>
    <row r="89" spans="1:4">
      <c r="A89" s="2"/>
      <c r="B89" s="2"/>
      <c r="C89" s="10"/>
      <c r="D89" s="10"/>
    </row>
    <row r="90" spans="1:4">
      <c r="A90" s="2"/>
      <c r="B90" s="2"/>
      <c r="C90" s="10"/>
      <c r="D90" s="10"/>
    </row>
    <row r="91" spans="1:4">
      <c r="A91" s="50"/>
      <c r="B91" s="50"/>
      <c r="C91" s="51"/>
      <c r="D91" s="51"/>
    </row>
    <row r="92" spans="1:4">
      <c r="A92" s="50"/>
      <c r="B92" s="50"/>
      <c r="C92" s="51"/>
      <c r="D92" s="51"/>
    </row>
    <row r="93" spans="1:4" ht="14.25" thickBot="1">
      <c r="A93" s="3"/>
      <c r="B93" s="3"/>
      <c r="C93" s="11"/>
      <c r="D93" s="11"/>
    </row>
    <row r="94" spans="1:4" ht="14.25" thickBot="1">
      <c r="A94" s="47" t="s">
        <v>34</v>
      </c>
      <c r="B94" s="47">
        <f>SUM(B79:B93)</f>
        <v>9</v>
      </c>
      <c r="C94" s="86" t="s">
        <v>43</v>
      </c>
      <c r="D94" s="48"/>
    </row>
    <row r="95" spans="1:4" ht="15" thickBot="1">
      <c r="A95" s="49"/>
      <c r="B95" s="49"/>
      <c r="C95" s="49"/>
      <c r="D95" s="49"/>
    </row>
    <row r="96" spans="1:4" ht="18.75" thickBot="1">
      <c r="A96" s="42" t="s">
        <v>29</v>
      </c>
      <c r="B96" s="43">
        <v>6</v>
      </c>
      <c r="C96" s="44" t="s">
        <v>35</v>
      </c>
      <c r="D96" s="53">
        <f>$D$77+7</f>
        <v>45929</v>
      </c>
    </row>
    <row r="97" spans="1:4" ht="27.75" thickBot="1">
      <c r="A97" s="45" t="s">
        <v>30</v>
      </c>
      <c r="B97" s="46" t="s">
        <v>31</v>
      </c>
      <c r="C97" s="45" t="s">
        <v>32</v>
      </c>
      <c r="D97" s="45" t="s">
        <v>33</v>
      </c>
    </row>
    <row r="98" spans="1:4" ht="24.75">
      <c r="A98" s="5" t="s">
        <v>22</v>
      </c>
      <c r="B98" s="4">
        <v>3</v>
      </c>
      <c r="C98" s="9" t="s">
        <v>55</v>
      </c>
      <c r="D98" s="92" t="s">
        <v>56</v>
      </c>
    </row>
    <row r="99" spans="1:4" ht="24.75">
      <c r="A99" s="1" t="s">
        <v>22</v>
      </c>
      <c r="B99" s="2">
        <v>4</v>
      </c>
      <c r="C99" s="10" t="s">
        <v>57</v>
      </c>
      <c r="D99" s="93" t="s">
        <v>58</v>
      </c>
    </row>
    <row r="100" spans="1:4" ht="24.75">
      <c r="A100" s="1" t="s">
        <v>23</v>
      </c>
      <c r="B100" s="2">
        <v>2</v>
      </c>
      <c r="C100" s="10" t="s">
        <v>59</v>
      </c>
      <c r="D100" s="10"/>
    </row>
    <row r="101" spans="1:4">
      <c r="A101" s="1"/>
      <c r="B101" s="2"/>
      <c r="C101" s="10"/>
      <c r="D101" s="10"/>
    </row>
    <row r="102" spans="1:4">
      <c r="A102" s="1"/>
      <c r="B102" s="2"/>
      <c r="C102" s="10"/>
      <c r="D102" s="10"/>
    </row>
    <row r="103" spans="1:4">
      <c r="A103" s="1"/>
      <c r="B103" s="2"/>
      <c r="C103" s="10"/>
      <c r="D103" s="10"/>
    </row>
    <row r="104" spans="1:4">
      <c r="A104" s="1"/>
      <c r="B104" s="2"/>
      <c r="C104" s="10"/>
      <c r="D104" s="10"/>
    </row>
    <row r="105" spans="1:4">
      <c r="A105" s="1"/>
      <c r="B105" s="2"/>
      <c r="C105" s="10"/>
      <c r="D105" s="10"/>
    </row>
    <row r="106" spans="1:4">
      <c r="A106" s="1"/>
      <c r="B106" s="2"/>
      <c r="C106" s="10"/>
      <c r="D106" s="10"/>
    </row>
    <row r="107" spans="1:4">
      <c r="A107" s="2"/>
      <c r="B107" s="2"/>
      <c r="C107" s="10"/>
      <c r="D107" s="10"/>
    </row>
    <row r="108" spans="1:4">
      <c r="A108" s="2"/>
      <c r="B108" s="2"/>
      <c r="C108" s="10"/>
      <c r="D108" s="10"/>
    </row>
    <row r="109" spans="1:4">
      <c r="A109" s="2"/>
      <c r="B109" s="2"/>
      <c r="C109" s="10"/>
      <c r="D109" s="10"/>
    </row>
    <row r="110" spans="1:4">
      <c r="A110" s="50"/>
      <c r="B110" s="50"/>
      <c r="C110" s="51"/>
      <c r="D110" s="51"/>
    </row>
    <row r="111" spans="1:4">
      <c r="A111" s="50"/>
      <c r="B111" s="50"/>
      <c r="C111" s="51"/>
      <c r="D111" s="51"/>
    </row>
    <row r="112" spans="1:4" ht="14.25" thickBot="1">
      <c r="A112" s="3"/>
      <c r="B112" s="3"/>
      <c r="C112" s="11"/>
      <c r="D112" s="11"/>
    </row>
    <row r="113" spans="1:4" ht="14.25" thickBot="1">
      <c r="A113" s="47" t="s">
        <v>34</v>
      </c>
      <c r="B113" s="47">
        <f>SUM(B98:B112)</f>
        <v>9</v>
      </c>
      <c r="C113" s="86" t="s">
        <v>43</v>
      </c>
      <c r="D113" s="48"/>
    </row>
    <row r="114" spans="1:4" ht="15" thickBot="1">
      <c r="A114" s="49"/>
      <c r="B114" s="49"/>
      <c r="C114" s="49"/>
      <c r="D114" s="49"/>
    </row>
    <row r="115" spans="1:4" ht="18.75" thickBot="1">
      <c r="A115" s="42" t="s">
        <v>29</v>
      </c>
      <c r="B115" s="43">
        <v>7</v>
      </c>
      <c r="C115" s="44" t="s">
        <v>35</v>
      </c>
      <c r="D115" s="53">
        <f>$D$96+7</f>
        <v>45936</v>
      </c>
    </row>
    <row r="116" spans="1:4" ht="27.75" thickBot="1">
      <c r="A116" s="45" t="s">
        <v>30</v>
      </c>
      <c r="B116" s="46" t="s">
        <v>31</v>
      </c>
      <c r="C116" s="45" t="s">
        <v>32</v>
      </c>
      <c r="D116" s="45" t="s">
        <v>33</v>
      </c>
    </row>
    <row r="117" spans="1:4">
      <c r="A117" s="5" t="s">
        <v>16</v>
      </c>
      <c r="B117" s="4">
        <v>9</v>
      </c>
      <c r="C117" s="9" t="s">
        <v>60</v>
      </c>
      <c r="D117" s="9"/>
    </row>
    <row r="118" spans="1:4">
      <c r="A118" s="1"/>
      <c r="B118" s="2"/>
      <c r="C118" s="10"/>
      <c r="D118" s="10"/>
    </row>
    <row r="119" spans="1:4">
      <c r="A119" s="1"/>
      <c r="B119" s="2"/>
      <c r="C119" s="10"/>
      <c r="D119" s="10"/>
    </row>
    <row r="120" spans="1:4">
      <c r="A120" s="1"/>
      <c r="B120" s="2"/>
      <c r="C120" s="10"/>
      <c r="D120" s="10"/>
    </row>
    <row r="121" spans="1:4">
      <c r="A121" s="1"/>
      <c r="B121" s="2"/>
      <c r="C121" s="10"/>
      <c r="D121" s="10"/>
    </row>
    <row r="122" spans="1:4">
      <c r="A122" s="1"/>
      <c r="B122" s="2"/>
      <c r="C122" s="10"/>
      <c r="D122" s="10"/>
    </row>
    <row r="123" spans="1:4">
      <c r="A123" s="1"/>
      <c r="B123" s="2"/>
      <c r="C123" s="10"/>
      <c r="D123" s="10"/>
    </row>
    <row r="124" spans="1:4">
      <c r="A124" s="1"/>
      <c r="B124" s="2"/>
      <c r="C124" s="10"/>
      <c r="D124" s="10"/>
    </row>
    <row r="125" spans="1:4">
      <c r="A125" s="1"/>
      <c r="B125" s="2"/>
      <c r="C125" s="10"/>
      <c r="D125" s="10"/>
    </row>
    <row r="126" spans="1:4">
      <c r="A126" s="2"/>
      <c r="B126" s="2"/>
      <c r="C126" s="10"/>
      <c r="D126" s="10"/>
    </row>
    <row r="127" spans="1:4">
      <c r="A127" s="2"/>
      <c r="B127" s="2"/>
      <c r="C127" s="10"/>
      <c r="D127" s="10"/>
    </row>
    <row r="128" spans="1:4">
      <c r="A128" s="2"/>
      <c r="B128" s="2"/>
      <c r="C128" s="10"/>
      <c r="D128" s="10"/>
    </row>
    <row r="129" spans="1:4">
      <c r="A129" s="50"/>
      <c r="B129" s="50"/>
      <c r="C129" s="51"/>
      <c r="D129" s="51"/>
    </row>
    <row r="130" spans="1:4">
      <c r="A130" s="50"/>
      <c r="B130" s="50"/>
      <c r="C130" s="51"/>
      <c r="D130" s="51"/>
    </row>
    <row r="131" spans="1:4" ht="14.25" thickBot="1">
      <c r="A131" s="3"/>
      <c r="B131" s="3"/>
      <c r="C131" s="11"/>
      <c r="D131" s="11"/>
    </row>
    <row r="132" spans="1:4" ht="14.25" thickBot="1">
      <c r="A132" s="47" t="s">
        <v>34</v>
      </c>
      <c r="B132" s="47">
        <f>SUM(B117:B131)</f>
        <v>9</v>
      </c>
      <c r="C132" s="86" t="s">
        <v>43</v>
      </c>
      <c r="D132" s="48"/>
    </row>
    <row r="133" spans="1:4" ht="15" thickBot="1">
      <c r="A133" s="49"/>
      <c r="B133" s="49"/>
      <c r="C133" s="49"/>
      <c r="D133" s="49"/>
    </row>
    <row r="134" spans="1:4" ht="18.75" thickBot="1">
      <c r="A134" s="42" t="s">
        <v>29</v>
      </c>
      <c r="B134" s="43">
        <v>8</v>
      </c>
      <c r="C134" s="44" t="s">
        <v>35</v>
      </c>
      <c r="D134" s="53">
        <f>$D$115+21</f>
        <v>45957</v>
      </c>
    </row>
    <row r="135" spans="1:4" ht="27.75" thickBot="1">
      <c r="A135" s="45" t="s">
        <v>30</v>
      </c>
      <c r="B135" s="46" t="s">
        <v>31</v>
      </c>
      <c r="C135" s="45" t="s">
        <v>32</v>
      </c>
      <c r="D135" s="45" t="s">
        <v>33</v>
      </c>
    </row>
    <row r="136" spans="1:4" ht="24.75">
      <c r="A136" s="5" t="s">
        <v>22</v>
      </c>
      <c r="B136" s="4">
        <v>5</v>
      </c>
      <c r="C136" s="9" t="s">
        <v>61</v>
      </c>
      <c r="D136" s="9"/>
    </row>
    <row r="137" spans="1:4" ht="24.75">
      <c r="A137" s="1" t="s">
        <v>24</v>
      </c>
      <c r="B137" s="2">
        <v>1</v>
      </c>
      <c r="C137" s="10" t="s">
        <v>62</v>
      </c>
      <c r="D137" s="10"/>
    </row>
    <row r="138" spans="1:4">
      <c r="A138" s="1"/>
      <c r="B138" s="2"/>
      <c r="C138" s="10"/>
      <c r="D138" s="10"/>
    </row>
    <row r="139" spans="1:4">
      <c r="A139" s="1" t="s">
        <v>63</v>
      </c>
      <c r="B139" s="2">
        <v>3</v>
      </c>
      <c r="C139" s="10" t="s">
        <v>64</v>
      </c>
      <c r="D139" s="10"/>
    </row>
    <row r="140" spans="1:4">
      <c r="A140" s="1"/>
      <c r="B140" s="2"/>
      <c r="C140" s="10"/>
      <c r="D140" s="10"/>
    </row>
    <row r="141" spans="1:4">
      <c r="A141" s="1"/>
      <c r="B141" s="2"/>
      <c r="C141" s="10"/>
      <c r="D141" s="10"/>
    </row>
    <row r="142" spans="1:4">
      <c r="A142" s="1"/>
      <c r="B142" s="2"/>
      <c r="C142" s="10"/>
      <c r="D142" s="10"/>
    </row>
    <row r="143" spans="1:4">
      <c r="A143" s="1"/>
      <c r="B143" s="2"/>
      <c r="C143" s="10"/>
      <c r="D143" s="10"/>
    </row>
    <row r="144" spans="1:4">
      <c r="A144" s="1"/>
      <c r="B144" s="2"/>
      <c r="C144" s="10"/>
      <c r="D144" s="10"/>
    </row>
    <row r="145" spans="1:4">
      <c r="A145" s="2"/>
      <c r="B145" s="2"/>
      <c r="C145" s="10"/>
      <c r="D145" s="10"/>
    </row>
    <row r="146" spans="1:4">
      <c r="A146" s="2"/>
      <c r="B146" s="2"/>
      <c r="C146" s="10"/>
      <c r="D146" s="10"/>
    </row>
    <row r="147" spans="1:4">
      <c r="A147" s="2"/>
      <c r="B147" s="2"/>
      <c r="C147" s="10"/>
      <c r="D147" s="10"/>
    </row>
    <row r="148" spans="1:4">
      <c r="A148" s="50"/>
      <c r="B148" s="50"/>
      <c r="C148" s="51"/>
      <c r="D148" s="51"/>
    </row>
    <row r="149" spans="1:4">
      <c r="A149" s="50"/>
      <c r="B149" s="50"/>
      <c r="C149" s="51"/>
      <c r="D149" s="51"/>
    </row>
    <row r="150" spans="1:4" ht="14.25" thickBot="1">
      <c r="A150" s="3"/>
      <c r="B150" s="3"/>
      <c r="C150" s="11"/>
      <c r="D150" s="11"/>
    </row>
    <row r="151" spans="1:4" ht="14.25" thickBot="1">
      <c r="A151" s="47" t="s">
        <v>34</v>
      </c>
      <c r="B151" s="47">
        <f>SUM(B136:B150)</f>
        <v>9</v>
      </c>
      <c r="C151" s="86" t="s">
        <v>43</v>
      </c>
      <c r="D151" s="48"/>
    </row>
    <row r="152" spans="1:4" ht="14.25">
      <c r="A152" s="49"/>
      <c r="B152" s="49"/>
      <c r="C152" s="49"/>
      <c r="D152" s="49"/>
    </row>
    <row r="153" spans="1:4">
      <c r="A153" s="87" t="s">
        <v>65</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763AD554-6536-48DB-B1E5-5CB5B9A07986}">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136:B150 B117:B131 B98:B112" xr:uid="{9010288C-A956-43AD-A773-BE88DC20552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12328EDC-6002-4929-877A-00595D7F491A}">
      <formula1>0</formula1>
      <formula2>NbPerWeek * NbQuartPer</formula2>
    </dataValidation>
    <dataValidation type="list" allowBlank="1" showInputMessage="1" showErrorMessage="1" sqref="A3:A17 A22:A36 A41:A55 A60:A74 A79:A93 A136:A150 A117:A131 A98:A112" xr:uid="{32B4BA3E-DBB7-4ADA-B3C5-1B7449FC67C4}">
      <formula1>lstTasks</formula1>
    </dataValidation>
  </dataValidations>
  <hyperlinks>
    <hyperlink ref="D5" r:id="rId1" display="https://www.youtube.com/watch?v=uyhzCBEGaBY _x000a_" xr:uid="{F9F88A15-CDB3-4551-8918-7C9BB01B870A}"/>
    <hyperlink ref="D6" r:id="rId2" xr:uid="{0BE0E7BF-A8F7-42C0-B1A4-723A4F7EDB1A}"/>
    <hyperlink ref="D22" r:id="rId3" xr:uid="{D31738D1-E63D-4C3D-8717-150A7E4B6299}"/>
    <hyperlink ref="D60" r:id="rId4" xr:uid="{16696D5C-8491-4B7A-AB49-627242D8F17B}"/>
    <hyperlink ref="D99" r:id="rId5" xr:uid="{F84531C6-07A8-40B9-A99D-BF0D1373089E}"/>
    <hyperlink ref="D98" r:id="rId6" xr:uid="{375161BE-6CDE-4B0E-9721-37E0C36CBFA2}"/>
  </hyperlinks>
  <pageMargins left="0.7" right="0.7" top="0.75" bottom="0.75" header="0.3" footer="0.3"/>
  <pageSetup paperSize="9" orientation="portrait" r:id="rId7"/>
  <drawing r:id="rId8"/>
  <legacyDrawing r:id="rId9"/>
  <controls>
    <mc:AlternateContent xmlns:mc="http://schemas.openxmlformats.org/markup-compatibility/2006">
      <mc:Choice Requires="x14">
        <control shapeId="41985" r:id="rId10" name="btnImportRealisation">
          <controlPr defaultSize="0" autoLine="0" r:id="rId11">
            <anchor moveWithCells="1">
              <from>
                <xdr:col>4</xdr:col>
                <xdr:colOff>590550</xdr:colOff>
                <xdr:row>0</xdr:row>
                <xdr:rowOff>180975</xdr:rowOff>
              </from>
              <to>
                <xdr:col>7</xdr:col>
                <xdr:colOff>257175</xdr:colOff>
                <xdr:row>2</xdr:row>
                <xdr:rowOff>152400</xdr:rowOff>
              </to>
            </anchor>
          </controlPr>
        </control>
      </mc:Choice>
      <mc:Fallback>
        <control shapeId="41985" r:id="rId10"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5cf4370-ac38-4b9e-9836-ef6f5df64f24">
      <Terms xmlns="http://schemas.microsoft.com/office/infopath/2007/PartnerControls"/>
    </lcf76f155ced4ddcb4097134ff3c332f>
    <TaxCatchAll xmlns="eefa3612-053e-497a-ae76-8a76877f5e2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C9F2488912074FB587B9AD9ADAE5BB" ma:contentTypeVersion="13" ma:contentTypeDescription="Crée un document." ma:contentTypeScope="" ma:versionID="562bdae14884540e5509e88f97da7d04">
  <xsd:schema xmlns:xsd="http://www.w3.org/2001/XMLSchema" xmlns:xs="http://www.w3.org/2001/XMLSchema" xmlns:p="http://schemas.microsoft.com/office/2006/metadata/properties" xmlns:ns2="b5cf4370-ac38-4b9e-9836-ef6f5df64f24" xmlns:ns3="eefa3612-053e-497a-ae76-8a76877f5e22" targetNamespace="http://schemas.microsoft.com/office/2006/metadata/properties" ma:root="true" ma:fieldsID="70681fe49f55a0a3581ff7cc3baa8cb6" ns2:_="" ns3:_="">
    <xsd:import namespace="b5cf4370-ac38-4b9e-9836-ef6f5df64f24"/>
    <xsd:import namespace="eefa3612-053e-497a-ae76-8a76877f5e2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f4370-ac38-4b9e-9836-ef6f5df64f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efa3612-053e-497a-ae76-8a76877f5e2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a7a43f5-6407-498c-ac52-887c7ad1b00c}" ma:internalName="TaxCatchAll" ma:showField="CatchAllData" ma:web="eefa3612-053e-497a-ae76-8a76877f5e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29126A-0525-4FCA-A870-5924A033DD5A}"/>
</file>

<file path=customXml/itemProps2.xml><?xml version="1.0" encoding="utf-8"?>
<ds:datastoreItem xmlns:ds="http://schemas.openxmlformats.org/officeDocument/2006/customXml" ds:itemID="{B0E9AFF5-93AA-446A-8CE6-5DCC0E54E12C}"/>
</file>

<file path=customXml/itemProps3.xml><?xml version="1.0" encoding="utf-8"?>
<ds:datastoreItem xmlns:ds="http://schemas.openxmlformats.org/officeDocument/2006/customXml" ds:itemID="{483719EA-391A-4C4B-985B-9805B7FCB9D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keywords/>
  <dc:description/>
  <cp:lastModifiedBy>Matias Denis</cp:lastModifiedBy>
  <cp:revision/>
  <dcterms:created xsi:type="dcterms:W3CDTF">1996-10-21T11:03:58Z</dcterms:created>
  <dcterms:modified xsi:type="dcterms:W3CDTF">2025-10-27T09:05:17Z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0x01010080C9F2488912074FB587B9AD9ADAE5BB</vt:lpwstr>
  </property>
  <property fmtid="{D5CDD505-2E9C-101B-9397-08002B2CF9AE}" pid="3" name="MediaServiceImageTags">
    <vt:lpwstr/>
  </property>
</Properties>
</file>